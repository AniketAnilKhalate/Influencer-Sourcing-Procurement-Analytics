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920" activeTab="1"/>
  </bookViews>
  <sheets>
    <sheet name="Creator_Data" sheetId="1" r:id="rId1"/>
    <sheet name="Quote_Analysis" sheetId="2" r:id="rId2"/>
    <sheet name="Quotation_Chart" sheetId="3" r:id="rId3"/>
    <sheet name="Supplier_Scorecard" sheetId="4" r:id="rId4"/>
    <sheet name="Supplier_Risk" sheetId="5" r:id="rId5"/>
    <sheet name="Negotiation_Analysis" sheetId="6" r:id="rId6"/>
    <sheet name="Sourcing_Summary" sheetId="7" r:id="rId7"/>
  </sheets>
  <definedNames>
    <definedName name="_xlnm._FilterDatabase" localSheetId="0" hidden="1">Creator_Data!$A$1:$I$11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<sst xmlns="http://schemas.openxmlformats.org/spreadsheetml/2006/main" count="186" uniqueCount="72">
  <si>
    <t>handle</t>
  </si>
  <si>
    <t>niche</t>
  </si>
  <si>
    <t>platform</t>
  </si>
  <si>
    <t>followers</t>
  </si>
  <si>
    <t>avg_engagement_rate</t>
  </si>
  <si>
    <t>Quotation (INR)</t>
  </si>
  <si>
    <t>currency</t>
  </si>
  <si>
    <t>Cost_per_1000_followers</t>
  </si>
  <si>
    <t>Commercial_Rank</t>
  </si>
  <si>
    <t>@demo_daily_07</t>
  </si>
  <si>
    <t>beauty</t>
  </si>
  <si>
    <t>instagram</t>
  </si>
  <si>
    <t>INR</t>
  </si>
  <si>
    <t>@demo_home_10</t>
  </si>
  <si>
    <t>interior</t>
  </si>
  <si>
    <t>@demo_fitness_06</t>
  </si>
  <si>
    <t>fitness</t>
  </si>
  <si>
    <t>@demo_family_03</t>
  </si>
  <si>
    <t>family</t>
  </si>
  <si>
    <t>@demo_glow_01</t>
  </si>
  <si>
    <t>@demo_beauty_09</t>
  </si>
  <si>
    <t>@demo_skin_02</t>
  </si>
  <si>
    <t>@demo_beauty_04</t>
  </si>
  <si>
    <t>@demo_care_05</t>
  </si>
  <si>
    <t>youtube</t>
  </si>
  <si>
    <t>@demo_style_08</t>
  </si>
  <si>
    <t>fashion</t>
  </si>
  <si>
    <t>Metric</t>
  </si>
  <si>
    <t>Result</t>
  </si>
  <si>
    <t>Number of quotations</t>
  </si>
  <si>
    <t>Average quotation</t>
  </si>
  <si>
    <t>Median quotation</t>
  </si>
  <si>
    <t>Lowest quotation</t>
  </si>
  <si>
    <t>Highest quotation</t>
  </si>
  <si>
    <t>Quotation price range</t>
  </si>
  <si>
    <t>Highest quote above lowest (%)</t>
  </si>
  <si>
    <t>quote_amount</t>
  </si>
  <si>
    <t>Creator</t>
  </si>
  <si>
    <t>Cost per 1,000 followers</t>
  </si>
  <si>
    <t>Commercial rank</t>
  </si>
  <si>
    <t>Commercial score</t>
  </si>
  <si>
    <t>Audience fit</t>
  </si>
  <si>
    <t>Engagement quality</t>
  </si>
  <si>
    <t>Compliance</t>
  </si>
  <si>
    <t>Delivery capability</t>
  </si>
  <si>
    <t>Weighted score</t>
  </si>
  <si>
    <t>Evaluation status</t>
  </si>
  <si>
    <t>Audience verification</t>
  </si>
  <si>
    <t>ASA advertising disclosure</t>
  </si>
  <si>
    <t>Brand safety review</t>
  </si>
  <si>
    <t>Contract review</t>
  </si>
  <si>
    <t>Overall risk status</t>
  </si>
  <si>
    <t>Not Checked</t>
  </si>
  <si>
    <t>Original quotation (INR)</t>
  </si>
  <si>
    <t>Illustrative discount target</t>
  </si>
  <si>
    <t>Target quotation (INR)</t>
  </si>
  <si>
    <t>Potential savings (INR)</t>
  </si>
  <si>
    <t>Total original quotations</t>
  </si>
  <si>
    <t>Total target quotations</t>
  </si>
  <si>
    <t>Total potential savings</t>
  </si>
  <si>
    <t>Potential savings (%)</t>
  </si>
  <si>
    <t>Sourcing Decision Summary</t>
  </si>
  <si>
    <t>Procurement Recommendation</t>
  </si>
  <si>
    <t>Based on an illustrative analysis of 10 fictional influencer quotations, three creators have been identified for further evaluation using quoted cost per 1,000 followers as an initial commercial comparison metric.
The quotations range from INR 19,000 to INR 80,000, with an average of INR 47,600. A hypothetical 10% negotiation target across all quotations indicates potential savings of INR 47,600; these savings have not been negotiated or realised.
No final supplier award is recommended at this stage. Audience suitability, engagement data reliability, advertising disclosure compliance, brand safety, contractual requirements and delivery capability must be assessed before a sourcing decision is made.</t>
  </si>
  <si>
    <t>Suppliers evaluated</t>
  </si>
  <si>
    <t>Average quotation (INR)</t>
  </si>
  <si>
    <t>Lowest quotation (INR)</t>
  </si>
  <si>
    <t>Highest quotation (INR)</t>
  </si>
  <si>
    <t>Illustrative negotiation savings (INR)</t>
  </si>
  <si>
    <t>Suppliers requiring due diligence</t>
  </si>
  <si>
    <t>Recommendation status</t>
  </si>
  <si>
    <t>Preliminary candidate — due diligence required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</si>
</sst>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b/>
      <sz val="11"/>
      <color theme="1"/>
      <name val="Calibri"/>
      <charset val="134"/>
      <scheme val="minor"/>
    </font>
    <font>
      <b/>
      <sz val="10"/>
      <color rgb="FF000000"/>
      <name val="Courier New"/>
      <charset val="134"/>
    </font>
    <font>
      <b/>
      <sz val="10"/>
      <color rgb="FF000000"/>
      <name val="Calibri"/>
      <charset val="134"/>
      <scheme val="minor"/>
    </font>
    <font>
      <sz val="10"/>
      <color rgb="FF000000"/>
      <name val="Courier Ne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4">
    <xf numFmtId="0" fontId="0" fillId="0" borderId="0" xfId="0">
      <alignment vertical="center"/>
    </xf>
    <xf numFmtId="0" fontId="1" fillId="0" borderId="0" xfId="0" applyFont="1">
      <alignment vertical="center"/>
    </xf>
    <xf numFmtId="0" fontId="1" fillId="0" borderId="1" xfId="0" applyFont="1" applyBorder="1">
      <alignment vertical="center"/>
    </xf>
    <xf numFmtId="0" fontId="1" fillId="0" borderId="0" xfId="0" applyFont="1" applyAlignment="1">
      <alignment horizontal="center" vertical="top" wrapText="1"/>
    </xf>
    <xf numFmtId="0" fontId="1" fillId="0" borderId="0" xfId="0" applyFont="1" applyAlignment="1">
      <alignment vertical="top"/>
    </xf>
    <xf numFmtId="0" fontId="1" fillId="0" borderId="1" xfId="0" applyNumberFormat="1" applyFont="1" applyBorder="1">
      <alignment vertical="center"/>
    </xf>
    <xf numFmtId="0" fontId="1" fillId="0" borderId="1" xfId="0" applyFont="1" applyBorder="1" applyAlignment="1">
      <alignment vertical="center" wrapText="1"/>
    </xf>
    <xf numFmtId="0" fontId="2" fillId="2" borderId="1" xfId="0" applyFont="1" applyFill="1" applyBorder="1" applyAlignment="1">
      <alignment horizontal="left" vertical="center" wrapText="1"/>
    </xf>
    <xf numFmtId="9" fontId="1" fillId="0" borderId="1" xfId="0" applyNumberFormat="1" applyFont="1" applyBorder="1">
      <alignment vertical="center"/>
    </xf>
    <xf numFmtId="9" fontId="1" fillId="0" borderId="1" xfId="3" applyFont="1" applyBorder="1">
      <alignment vertical="center"/>
    </xf>
    <xf numFmtId="0" fontId="3" fillId="2" borderId="1" xfId="0" applyFont="1" applyFill="1" applyBorder="1" applyAlignment="1">
      <alignment horizontal="left" vertical="center" wrapText="1"/>
    </xf>
    <xf numFmtId="0" fontId="0" fillId="0" borderId="1" xfId="0" applyBorder="1">
      <alignment vertical="center"/>
    </xf>
    <xf numFmtId="0" fontId="4" fillId="2" borderId="1" xfId="0" applyFont="1" applyFill="1" applyBorder="1" applyAlignment="1">
      <alignment horizontal="left" vertical="center" wrapText="1"/>
    </xf>
    <xf numFmtId="10" fontId="0" fillId="0" borderId="0" xfId="3"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GB" sz="1400" b="1" i="0" u="none" strike="noStrike" kern="1200" baseline="0">
                <a:solidFill>
                  <a:schemeClr val="tx1">
                    <a:lumMod val="75000"/>
                    <a:lumOff val="25000"/>
                  </a:schemeClr>
                </a:solidFill>
                <a:latin typeface="+mn-lt"/>
                <a:ea typeface="+mn-ea"/>
                <a:cs typeface="+mn-cs"/>
              </a:defRPr>
            </a:pPr>
            <a:r>
              <a:t>Fictional Influencer Quotation Comparison (INR)</a:t>
            </a:r>
          </a:p>
        </c:rich>
      </c:tx>
      <c:layout/>
      <c:overlay val="0"/>
      <c:spPr>
        <a:noFill/>
        <a:ln>
          <a:noFill/>
        </a:ln>
        <a:effectLst/>
      </c:spPr>
    </c:title>
    <c:autoTitleDeleted val="0"/>
    <c:plotArea>
      <c:layout/>
      <c:barChart>
        <c:barDir val="bar"/>
        <c:grouping val="clustered"/>
        <c:varyColors val="0"/>
        <c:ser>
          <c:idx val="0"/>
          <c:order val="0"/>
          <c:tx>
            <c:strRef>
              <c:f>Quotation_Chart!$B$1</c:f>
              <c:strCache>
                <c:ptCount val="1"/>
                <c:pt idx="0">
                  <c:v>quote_amount</c:v>
                </c:pt>
              </c:strCache>
            </c:strRef>
          </c:tx>
          <c:spPr>
            <a:solidFill>
              <a:schemeClr val="accent1"/>
            </a:solidFill>
            <a:ln>
              <a:noFill/>
            </a:ln>
            <a:effectLst/>
          </c:spPr>
          <c:invertIfNegative val="0"/>
          <c:dLbls>
            <c:delete val="1"/>
          </c:dLbls>
          <c:cat>
            <c:strRef>
              <c:f>Quotation_Chart!$A$2:$A$11</c:f>
              <c:strCache>
                <c:ptCount val="10"/>
                <c:pt idx="0">
                  <c:v>@demo_daily_07</c:v>
                </c:pt>
                <c:pt idx="1">
                  <c:v>@demo_home_10</c:v>
                </c:pt>
                <c:pt idx="2">
                  <c:v>@demo_fitness_06</c:v>
                </c:pt>
                <c:pt idx="3">
                  <c:v>@demo_family_03</c:v>
                </c:pt>
                <c:pt idx="4">
                  <c:v>@demo_glow_01</c:v>
                </c:pt>
                <c:pt idx="5">
                  <c:v>@demo_beauty_09</c:v>
                </c:pt>
                <c:pt idx="6">
                  <c:v>@demo_skin_02</c:v>
                </c:pt>
                <c:pt idx="7">
                  <c:v>@demo_beauty_04</c:v>
                </c:pt>
                <c:pt idx="8">
                  <c:v>@demo_care_05</c:v>
                </c:pt>
                <c:pt idx="9">
                  <c:v>@demo_style_08</c:v>
                </c:pt>
              </c:strCache>
            </c:strRef>
          </c:cat>
          <c:val>
            <c:numRef>
              <c:f>Quotation_Chart!$B$2:$B$11</c:f>
              <c:numCache>
                <c:formatCode>General</c:formatCode>
                <c:ptCount val="10"/>
                <c:pt idx="0">
                  <c:v>19000</c:v>
                </c:pt>
                <c:pt idx="1">
                  <c:v>24000</c:v>
                </c:pt>
                <c:pt idx="2">
                  <c:v>26000</c:v>
                </c:pt>
                <c:pt idx="3">
                  <c:v>38000</c:v>
                </c:pt>
                <c:pt idx="4">
                  <c:v>42000</c:v>
                </c:pt>
                <c:pt idx="5">
                  <c:v>52000</c:v>
                </c:pt>
                <c:pt idx="6">
                  <c:v>55000</c:v>
                </c:pt>
                <c:pt idx="7">
                  <c:v>68000</c:v>
                </c:pt>
                <c:pt idx="8">
                  <c:v>72000</c:v>
                </c:pt>
                <c:pt idx="9">
                  <c:v>80000</c:v>
                </c:pt>
              </c:numCache>
            </c:numRef>
          </c:val>
        </c:ser>
        <c:dLbls>
          <c:showLegendKey val="0"/>
          <c:showVal val="0"/>
          <c:showCatName val="0"/>
          <c:showSerName val="0"/>
          <c:showPercent val="0"/>
          <c:showBubbleSize val="0"/>
        </c:dLbls>
        <c:gapWidth val="140"/>
        <c:overlap val="-40"/>
        <c:axId val="749424266"/>
        <c:axId val="419324377"/>
      </c:barChart>
      <c:catAx>
        <c:axId val="74942426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419324377"/>
        <c:crosses val="autoZero"/>
        <c:auto val="1"/>
        <c:lblAlgn val="ctr"/>
        <c:lblOffset val="100"/>
        <c:noMultiLvlLbl val="0"/>
      </c:catAx>
      <c:valAx>
        <c:axId val="419324377"/>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74942426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01ecc39-899c-4a35-9127-320cd863be3f}"/>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457200</xdr:colOff>
      <xdr:row>2</xdr:row>
      <xdr:rowOff>82550</xdr:rowOff>
    </xdr:from>
    <xdr:to>
      <xdr:col>12</xdr:col>
      <xdr:colOff>406400</xdr:colOff>
      <xdr:row>8</xdr:row>
      <xdr:rowOff>349250</xdr:rowOff>
    </xdr:to>
    <xdr:graphicFrame>
      <xdr:nvGraphicFramePr>
        <xdr:cNvPr id="2" name="Chart 1"/>
        <xdr:cNvGraphicFramePr/>
      </xdr:nvGraphicFramePr>
      <xdr:xfrm>
        <a:off x="3302000" y="5969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zoomScaleSheetLayoutView="60" workbookViewId="0">
      <selection activeCell="N6" sqref="N6"/>
    </sheetView>
  </sheetViews>
  <sheetFormatPr defaultColWidth="9.81818181818182" defaultRowHeight="14.5"/>
  <cols>
    <col min="8" max="8" width="12.8181818181818"/>
  </cols>
  <sheetData>
    <row r="1" spans="1:9">
      <c r="A1" t="s">
        <v>0</v>
      </c>
      <c r="B1" t="s">
        <v>1</v>
      </c>
      <c r="C1" t="s">
        <v>2</v>
      </c>
      <c r="D1" t="s">
        <v>3</v>
      </c>
      <c r="E1" t="s">
        <v>4</v>
      </c>
      <c r="F1" t="s">
        <v>5</v>
      </c>
      <c r="G1" t="s">
        <v>6</v>
      </c>
      <c r="H1" t="s">
        <v>7</v>
      </c>
      <c r="I1" t="s">
        <v>8</v>
      </c>
    </row>
    <row r="2" ht="26" spans="1:9">
      <c r="A2" s="12" t="s">
        <v>9</v>
      </c>
      <c r="B2" s="12" t="s">
        <v>10</v>
      </c>
      <c r="C2" s="12" t="s">
        <v>11</v>
      </c>
      <c r="D2" s="12">
        <v>14000</v>
      </c>
      <c r="E2" s="12">
        <v>0.033</v>
      </c>
      <c r="F2" s="12">
        <v>19000</v>
      </c>
      <c r="G2" s="12" t="s">
        <v>12</v>
      </c>
      <c r="H2">
        <f>IFERROR(F2/D2*1000,"")</f>
        <v>1357.14285714286</v>
      </c>
      <c r="I2">
        <f>IF(H2="","",RANK(H2,$H$2:$H$11,1))</f>
        <v>10</v>
      </c>
    </row>
    <row r="3" ht="26" spans="1:9">
      <c r="A3" s="12" t="s">
        <v>13</v>
      </c>
      <c r="B3" s="12" t="s">
        <v>14</v>
      </c>
      <c r="C3" s="12" t="s">
        <v>11</v>
      </c>
      <c r="D3" s="12">
        <v>27000</v>
      </c>
      <c r="E3" s="12">
        <v>0.039</v>
      </c>
      <c r="F3" s="12">
        <v>24000</v>
      </c>
      <c r="G3" s="12" t="s">
        <v>12</v>
      </c>
      <c r="H3">
        <f t="shared" ref="H3:H11" si="0">IFERROR(F3/D3*1000,"")</f>
        <v>888.888888888889</v>
      </c>
      <c r="I3">
        <f t="shared" ref="I3:I11" si="1">IF(H3="","",RANK(H3,$H$2:$H$11,1))</f>
        <v>8</v>
      </c>
    </row>
    <row r="4" ht="26" spans="1:9">
      <c r="A4" s="12" t="s">
        <v>15</v>
      </c>
      <c r="B4" s="12" t="s">
        <v>16</v>
      </c>
      <c r="C4" s="12" t="s">
        <v>11</v>
      </c>
      <c r="D4" s="12">
        <v>35000</v>
      </c>
      <c r="E4" s="12">
        <v>0.052</v>
      </c>
      <c r="F4" s="12">
        <v>26000</v>
      </c>
      <c r="G4" s="12" t="s">
        <v>12</v>
      </c>
      <c r="H4">
        <f t="shared" si="0"/>
        <v>742.857142857143</v>
      </c>
      <c r="I4">
        <f t="shared" si="1"/>
        <v>6</v>
      </c>
    </row>
    <row r="5" ht="26" spans="1:9">
      <c r="A5" s="12" t="s">
        <v>17</v>
      </c>
      <c r="B5" s="12" t="s">
        <v>18</v>
      </c>
      <c r="C5" s="12" t="s">
        <v>11</v>
      </c>
      <c r="D5" s="12">
        <v>62000</v>
      </c>
      <c r="E5" s="12">
        <v>0.036</v>
      </c>
      <c r="F5" s="12">
        <v>38000</v>
      </c>
      <c r="G5" s="12" t="s">
        <v>12</v>
      </c>
      <c r="H5">
        <f t="shared" si="0"/>
        <v>612.903225806452</v>
      </c>
      <c r="I5">
        <f t="shared" si="1"/>
        <v>4</v>
      </c>
    </row>
    <row r="6" ht="26" spans="1:9">
      <c r="A6" s="12" t="s">
        <v>19</v>
      </c>
      <c r="B6" s="12" t="s">
        <v>10</v>
      </c>
      <c r="C6" s="12" t="s">
        <v>11</v>
      </c>
      <c r="D6" s="12">
        <v>45000</v>
      </c>
      <c r="E6" s="12">
        <v>0.041</v>
      </c>
      <c r="F6" s="12">
        <v>42000</v>
      </c>
      <c r="G6" s="12" t="s">
        <v>12</v>
      </c>
      <c r="H6">
        <f t="shared" si="0"/>
        <v>933.333333333333</v>
      </c>
      <c r="I6">
        <f t="shared" si="1"/>
        <v>9</v>
      </c>
    </row>
    <row r="7" ht="26" spans="1:9">
      <c r="A7" s="12" t="s">
        <v>20</v>
      </c>
      <c r="B7" s="12" t="s">
        <v>10</v>
      </c>
      <c r="C7" s="12" t="s">
        <v>11</v>
      </c>
      <c r="D7" s="12">
        <v>110000</v>
      </c>
      <c r="E7" s="12">
        <v>0.031</v>
      </c>
      <c r="F7" s="12">
        <v>52000</v>
      </c>
      <c r="G7" s="12" t="s">
        <v>12</v>
      </c>
      <c r="H7">
        <f t="shared" si="0"/>
        <v>472.727272727273</v>
      </c>
      <c r="I7">
        <f t="shared" si="1"/>
        <v>3</v>
      </c>
    </row>
    <row r="8" ht="26" spans="1:9">
      <c r="A8" s="12" t="s">
        <v>21</v>
      </c>
      <c r="B8" s="12" t="s">
        <v>10</v>
      </c>
      <c r="C8" s="12" t="s">
        <v>11</v>
      </c>
      <c r="D8" s="12">
        <v>80000</v>
      </c>
      <c r="E8" s="12">
        <v>0.028</v>
      </c>
      <c r="F8" s="12">
        <v>55000</v>
      </c>
      <c r="G8" s="12" t="s">
        <v>12</v>
      </c>
      <c r="H8">
        <f t="shared" si="0"/>
        <v>687.5</v>
      </c>
      <c r="I8">
        <f t="shared" si="1"/>
        <v>5</v>
      </c>
    </row>
    <row r="9" ht="26" spans="1:9">
      <c r="A9" s="12" t="s">
        <v>22</v>
      </c>
      <c r="B9" s="12" t="s">
        <v>10</v>
      </c>
      <c r="C9" s="12" t="s">
        <v>11</v>
      </c>
      <c r="D9" s="12">
        <v>170000</v>
      </c>
      <c r="E9" s="12">
        <v>0.021</v>
      </c>
      <c r="F9" s="12">
        <v>68000</v>
      </c>
      <c r="G9" s="12" t="s">
        <v>12</v>
      </c>
      <c r="H9">
        <f t="shared" si="0"/>
        <v>400</v>
      </c>
      <c r="I9">
        <f t="shared" si="1"/>
        <v>2</v>
      </c>
    </row>
    <row r="10" ht="26" spans="1:9">
      <c r="A10" s="12" t="s">
        <v>23</v>
      </c>
      <c r="B10" s="12" t="s">
        <v>10</v>
      </c>
      <c r="C10" s="12" t="s">
        <v>24</v>
      </c>
      <c r="D10" s="12">
        <v>95000</v>
      </c>
      <c r="E10" s="12">
        <v>0.044</v>
      </c>
      <c r="F10" s="12">
        <v>72000</v>
      </c>
      <c r="G10" s="12" t="s">
        <v>12</v>
      </c>
      <c r="H10">
        <f t="shared" si="0"/>
        <v>757.894736842105</v>
      </c>
      <c r="I10">
        <f t="shared" si="1"/>
        <v>7</v>
      </c>
    </row>
    <row r="11" ht="26" spans="1:9">
      <c r="A11" s="12" t="s">
        <v>25</v>
      </c>
      <c r="B11" s="12" t="s">
        <v>26</v>
      </c>
      <c r="C11" s="12" t="s">
        <v>11</v>
      </c>
      <c r="D11" s="12">
        <v>210000</v>
      </c>
      <c r="E11" s="12">
        <v>0.024</v>
      </c>
      <c r="F11" s="12">
        <v>80000</v>
      </c>
      <c r="G11" s="12" t="s">
        <v>12</v>
      </c>
      <c r="H11">
        <f t="shared" si="0"/>
        <v>380.952380952381</v>
      </c>
      <c r="I11">
        <f t="shared" si="1"/>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tabSelected="1" workbookViewId="0">
      <selection activeCell="F8" sqref="F8"/>
    </sheetView>
  </sheetViews>
  <sheetFormatPr defaultColWidth="8.72727272727273" defaultRowHeight="14.5" outlineLevelRow="7" outlineLevelCol="1"/>
  <cols>
    <col min="1" max="1" width="30" customWidth="1"/>
  </cols>
  <sheetData>
    <row r="1" spans="1:2">
      <c r="A1" t="s">
        <v>27</v>
      </c>
      <c r="B1" t="s">
        <v>28</v>
      </c>
    </row>
    <row r="2" spans="1:2">
      <c r="A2" t="s">
        <v>29</v>
      </c>
      <c r="B2">
        <f>COUNT(Creator_Data!F2:F11)</f>
        <v>10</v>
      </c>
    </row>
    <row r="3" spans="1:2">
      <c r="A3" t="s">
        <v>30</v>
      </c>
      <c r="B3">
        <f>AVERAGE(Creator_Data!F2:F11)</f>
        <v>47600</v>
      </c>
    </row>
    <row r="4" spans="1:2">
      <c r="A4" t="s">
        <v>31</v>
      </c>
      <c r="B4">
        <f>MEDIAN(Creator_Data!F2:F11)</f>
        <v>47000</v>
      </c>
    </row>
    <row r="5" spans="1:2">
      <c r="A5" t="s">
        <v>32</v>
      </c>
      <c r="B5">
        <f>MIN(Creator_Data!F2:F11)</f>
        <v>19000</v>
      </c>
    </row>
    <row r="6" spans="1:2">
      <c r="A6" t="s">
        <v>33</v>
      </c>
      <c r="B6">
        <f>MAX(Creator_Data!F2:F11)</f>
        <v>80000</v>
      </c>
    </row>
    <row r="7" spans="1:2">
      <c r="A7" t="s">
        <v>34</v>
      </c>
      <c r="B7">
        <f>B6-B5</f>
        <v>61000</v>
      </c>
    </row>
    <row r="8" spans="1:2">
      <c r="A8" t="s">
        <v>35</v>
      </c>
      <c r="B8" s="13">
        <f>(B6-B5)/B5</f>
        <v>3.21052631578947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E5" sqref="E5"/>
    </sheetView>
  </sheetViews>
  <sheetFormatPr defaultColWidth="8.72727272727273" defaultRowHeight="14.5" outlineLevelCol="1"/>
  <cols>
    <col min="2" max="2" width="14.5454545454545" customWidth="1"/>
  </cols>
  <sheetData>
    <row r="1" spans="1:2">
      <c r="A1" s="11" t="s">
        <v>0</v>
      </c>
      <c r="B1" s="11" t="s">
        <v>36</v>
      </c>
    </row>
    <row r="2" ht="26" spans="1:2">
      <c r="A2" s="12" t="s">
        <v>9</v>
      </c>
      <c r="B2" s="12">
        <v>19000</v>
      </c>
    </row>
    <row r="3" ht="26" spans="1:2">
      <c r="A3" s="12" t="s">
        <v>13</v>
      </c>
      <c r="B3" s="12">
        <v>24000</v>
      </c>
    </row>
    <row r="4" ht="39" spans="1:2">
      <c r="A4" s="12" t="s">
        <v>15</v>
      </c>
      <c r="B4" s="12">
        <v>26000</v>
      </c>
    </row>
    <row r="5" ht="39" spans="1:2">
      <c r="A5" s="12" t="s">
        <v>17</v>
      </c>
      <c r="B5" s="12">
        <v>38000</v>
      </c>
    </row>
    <row r="6" ht="26" spans="1:2">
      <c r="A6" s="12" t="s">
        <v>19</v>
      </c>
      <c r="B6" s="12">
        <v>42000</v>
      </c>
    </row>
    <row r="7" ht="39" spans="1:2">
      <c r="A7" s="12" t="s">
        <v>20</v>
      </c>
      <c r="B7" s="12">
        <v>52000</v>
      </c>
    </row>
    <row r="8" ht="26" spans="1:2">
      <c r="A8" s="12" t="s">
        <v>21</v>
      </c>
      <c r="B8" s="12">
        <v>55000</v>
      </c>
    </row>
    <row r="9" ht="39" spans="1:2">
      <c r="A9" s="12" t="s">
        <v>22</v>
      </c>
      <c r="B9" s="12">
        <v>68000</v>
      </c>
    </row>
    <row r="10" ht="26" spans="1:2">
      <c r="A10" s="12" t="s">
        <v>23</v>
      </c>
      <c r="B10" s="12">
        <v>72000</v>
      </c>
    </row>
    <row r="11" ht="26" spans="1:2">
      <c r="A11" s="12" t="s">
        <v>25</v>
      </c>
      <c r="B11" s="12">
        <v>80000</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B4" sqref="B4"/>
    </sheetView>
  </sheetViews>
  <sheetFormatPr defaultColWidth="8.72727272727273" defaultRowHeight="14.5"/>
  <cols>
    <col min="1" max="1" width="8.54545454545454" customWidth="1"/>
    <col min="2" max="2" width="8.18181818181818" customWidth="1"/>
    <col min="3" max="3" width="12.8181818181818" customWidth="1"/>
    <col min="4" max="5" width="8.63636363636364" customWidth="1"/>
    <col min="9" max="9" width="8.54545454545454" customWidth="1"/>
    <col min="10" max="10" width="12.7272727272727" customWidth="1"/>
    <col min="11" max="11" width="22.7272727272727" customWidth="1"/>
  </cols>
  <sheetData>
    <row r="1" ht="32" customHeight="1" spans="1:11">
      <c r="A1" s="6" t="s">
        <v>37</v>
      </c>
      <c r="B1" s="6" t="s">
        <v>5</v>
      </c>
      <c r="C1" s="6" t="s">
        <v>38</v>
      </c>
      <c r="D1" s="6" t="s">
        <v>39</v>
      </c>
      <c r="E1" s="6" t="s">
        <v>40</v>
      </c>
      <c r="F1" s="6" t="s">
        <v>41</v>
      </c>
      <c r="G1" s="6" t="s">
        <v>42</v>
      </c>
      <c r="H1" s="6" t="s">
        <v>43</v>
      </c>
      <c r="I1" s="6" t="s">
        <v>44</v>
      </c>
      <c r="J1" s="6" t="s">
        <v>45</v>
      </c>
      <c r="K1" s="6" t="s">
        <v>46</v>
      </c>
    </row>
    <row r="2" ht="26" spans="1:11">
      <c r="A2" s="10" t="s">
        <v>9</v>
      </c>
      <c r="B2" s="10">
        <v>19000</v>
      </c>
      <c r="C2" s="2">
        <v>1357.14285714286</v>
      </c>
      <c r="D2" s="2">
        <v>10</v>
      </c>
      <c r="E2" s="2">
        <f>IF(D2="","",ROUND((11-D2)/10*5,1))</f>
        <v>0.5</v>
      </c>
      <c r="F2" s="2"/>
      <c r="G2" s="2"/>
      <c r="H2" s="2"/>
      <c r="I2" s="2"/>
      <c r="J2" s="2" t="str">
        <f>IF(COUNT(E2:I2)&lt;5,"Not assessed",E2*30%+F2*25%+G2*20%+H2*15%+I2*10%)</f>
        <v>Not assessed</v>
      </c>
      <c r="K2" s="2" t="str">
        <f>IF(ISNUMBER(J2),"Fully assessed","Further checks required")</f>
        <v>Further checks required</v>
      </c>
    </row>
    <row r="3" ht="26" spans="1:11">
      <c r="A3" s="10" t="s">
        <v>13</v>
      </c>
      <c r="B3" s="10">
        <v>24000</v>
      </c>
      <c r="C3" s="2">
        <v>888.888888888889</v>
      </c>
      <c r="D3" s="2">
        <v>8</v>
      </c>
      <c r="E3" s="2">
        <f t="shared" ref="E3:E11" si="0">IF(D3="","",ROUND((11-D3)/10*5,1))</f>
        <v>1.5</v>
      </c>
      <c r="F3" s="2"/>
      <c r="G3" s="2"/>
      <c r="H3" s="2"/>
      <c r="I3" s="2"/>
      <c r="J3" s="2" t="str">
        <f t="shared" ref="J3:J11" si="1">IF(COUNT(E3:I3)&lt;5,"Not assessed",E3*30%+F3*25%+G3*20%+H3*15%+I3*10%)</f>
        <v>Not assessed</v>
      </c>
      <c r="K3" s="2" t="str">
        <f t="shared" ref="K3:K11" si="2">IF(ISNUMBER(J3),"Fully assessed","Further checks required")</f>
        <v>Further checks required</v>
      </c>
    </row>
    <row r="4" ht="26" spans="1:11">
      <c r="A4" s="10" t="s">
        <v>15</v>
      </c>
      <c r="B4" s="10">
        <v>26000</v>
      </c>
      <c r="C4" s="2">
        <v>742.857142857143</v>
      </c>
      <c r="D4" s="2">
        <v>6</v>
      </c>
      <c r="E4" s="2">
        <f t="shared" si="0"/>
        <v>2.5</v>
      </c>
      <c r="F4" s="2"/>
      <c r="G4" s="2"/>
      <c r="H4" s="2"/>
      <c r="I4" s="2"/>
      <c r="J4" s="2" t="str">
        <f t="shared" si="1"/>
        <v>Not assessed</v>
      </c>
      <c r="K4" s="2" t="str">
        <f t="shared" si="2"/>
        <v>Further checks required</v>
      </c>
    </row>
    <row r="5" ht="26" spans="1:11">
      <c r="A5" s="10" t="s">
        <v>17</v>
      </c>
      <c r="B5" s="10">
        <v>38000</v>
      </c>
      <c r="C5" s="2">
        <v>612.903225806452</v>
      </c>
      <c r="D5" s="2">
        <v>4</v>
      </c>
      <c r="E5" s="2">
        <f t="shared" si="0"/>
        <v>3.5</v>
      </c>
      <c r="F5" s="2"/>
      <c r="G5" s="2"/>
      <c r="H5" s="2"/>
      <c r="I5" s="2"/>
      <c r="J5" s="2" t="str">
        <f t="shared" si="1"/>
        <v>Not assessed</v>
      </c>
      <c r="K5" s="2" t="str">
        <f t="shared" si="2"/>
        <v>Further checks required</v>
      </c>
    </row>
    <row r="6" ht="26" spans="1:11">
      <c r="A6" s="10" t="s">
        <v>19</v>
      </c>
      <c r="B6" s="10">
        <v>42000</v>
      </c>
      <c r="C6" s="2">
        <v>933.333333333333</v>
      </c>
      <c r="D6" s="2">
        <v>9</v>
      </c>
      <c r="E6" s="2">
        <f t="shared" si="0"/>
        <v>1</v>
      </c>
      <c r="F6" s="2"/>
      <c r="G6" s="2"/>
      <c r="H6" s="2"/>
      <c r="I6" s="2"/>
      <c r="J6" s="2" t="str">
        <f t="shared" si="1"/>
        <v>Not assessed</v>
      </c>
      <c r="K6" s="2" t="str">
        <f t="shared" si="2"/>
        <v>Further checks required</v>
      </c>
    </row>
    <row r="7" ht="26" spans="1:11">
      <c r="A7" s="10" t="s">
        <v>20</v>
      </c>
      <c r="B7" s="10">
        <v>52000</v>
      </c>
      <c r="C7" s="2">
        <v>472.727272727273</v>
      </c>
      <c r="D7" s="2">
        <v>3</v>
      </c>
      <c r="E7" s="2">
        <f t="shared" si="0"/>
        <v>4</v>
      </c>
      <c r="F7" s="2"/>
      <c r="G7" s="2"/>
      <c r="H7" s="2"/>
      <c r="I7" s="2"/>
      <c r="J7" s="2" t="str">
        <f t="shared" si="1"/>
        <v>Not assessed</v>
      </c>
      <c r="K7" s="2" t="str">
        <f t="shared" si="2"/>
        <v>Further checks required</v>
      </c>
    </row>
    <row r="8" ht="26" spans="1:11">
      <c r="A8" s="10" t="s">
        <v>21</v>
      </c>
      <c r="B8" s="10">
        <v>55000</v>
      </c>
      <c r="C8" s="2">
        <v>687.5</v>
      </c>
      <c r="D8" s="2">
        <v>5</v>
      </c>
      <c r="E8" s="2">
        <f t="shared" si="0"/>
        <v>3</v>
      </c>
      <c r="F8" s="2"/>
      <c r="G8" s="2"/>
      <c r="H8" s="2"/>
      <c r="I8" s="2"/>
      <c r="J8" s="2" t="str">
        <f t="shared" si="1"/>
        <v>Not assessed</v>
      </c>
      <c r="K8" s="2" t="str">
        <f t="shared" si="2"/>
        <v>Further checks required</v>
      </c>
    </row>
    <row r="9" ht="26" spans="1:11">
      <c r="A9" s="10" t="s">
        <v>22</v>
      </c>
      <c r="B9" s="10">
        <v>68000</v>
      </c>
      <c r="C9" s="2">
        <v>400</v>
      </c>
      <c r="D9" s="2">
        <v>2</v>
      </c>
      <c r="E9" s="2">
        <f t="shared" si="0"/>
        <v>4.5</v>
      </c>
      <c r="F9" s="2"/>
      <c r="G9" s="2"/>
      <c r="H9" s="2"/>
      <c r="I9" s="2"/>
      <c r="J9" s="2" t="str">
        <f t="shared" si="1"/>
        <v>Not assessed</v>
      </c>
      <c r="K9" s="2" t="str">
        <f t="shared" si="2"/>
        <v>Further checks required</v>
      </c>
    </row>
    <row r="10" ht="26" spans="1:11">
      <c r="A10" s="10" t="s">
        <v>23</v>
      </c>
      <c r="B10" s="10">
        <v>72000</v>
      </c>
      <c r="C10" s="2">
        <v>757.894736842105</v>
      </c>
      <c r="D10" s="2">
        <v>7</v>
      </c>
      <c r="E10" s="2">
        <f t="shared" si="0"/>
        <v>2</v>
      </c>
      <c r="F10" s="2"/>
      <c r="G10" s="2"/>
      <c r="H10" s="2"/>
      <c r="I10" s="2"/>
      <c r="J10" s="2" t="str">
        <f t="shared" si="1"/>
        <v>Not assessed</v>
      </c>
      <c r="K10" s="2" t="str">
        <f t="shared" si="2"/>
        <v>Further checks required</v>
      </c>
    </row>
    <row r="11" ht="26" spans="1:11">
      <c r="A11" s="10" t="s">
        <v>25</v>
      </c>
      <c r="B11" s="10">
        <v>80000</v>
      </c>
      <c r="C11" s="2">
        <v>380.952380952381</v>
      </c>
      <c r="D11" s="2">
        <v>1</v>
      </c>
      <c r="E11" s="2">
        <f t="shared" si="0"/>
        <v>5</v>
      </c>
      <c r="F11" s="2"/>
      <c r="G11" s="2"/>
      <c r="H11" s="2"/>
      <c r="I11" s="2"/>
      <c r="J11" s="2" t="str">
        <f t="shared" si="1"/>
        <v>Not assessed</v>
      </c>
      <c r="K11" s="2" t="str">
        <f t="shared" si="2"/>
        <v>Further checks required</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workbookViewId="0">
      <selection activeCell="I4" sqref="I4"/>
    </sheetView>
  </sheetViews>
  <sheetFormatPr defaultColWidth="8.72727272727273" defaultRowHeight="14.5" outlineLevelCol="6"/>
  <cols>
    <col min="1" max="1" width="8.27272727272727" customWidth="1"/>
    <col min="2" max="2" width="18.1818181818182" customWidth="1"/>
    <col min="3" max="3" width="22.3636363636364" customWidth="1"/>
    <col min="4" max="4" width="17.1818181818182" customWidth="1"/>
    <col min="5" max="5" width="13.9090909090909" customWidth="1"/>
    <col min="6" max="6" width="21.6363636363636" customWidth="1"/>
  </cols>
  <sheetData>
    <row r="1" ht="23" customHeight="1" spans="1:7">
      <c r="A1" s="6" t="s">
        <v>37</v>
      </c>
      <c r="B1" s="6" t="s">
        <v>47</v>
      </c>
      <c r="C1" s="6" t="s">
        <v>48</v>
      </c>
      <c r="D1" s="6" t="s">
        <v>49</v>
      </c>
      <c r="E1" s="6" t="s">
        <v>50</v>
      </c>
      <c r="F1" s="6" t="s">
        <v>51</v>
      </c>
      <c r="G1" s="1"/>
    </row>
    <row r="2" ht="27" spans="1:7">
      <c r="A2" s="7" t="s">
        <v>9</v>
      </c>
      <c r="B2" s="2" t="s">
        <v>52</v>
      </c>
      <c r="C2" s="2" t="s">
        <v>52</v>
      </c>
      <c r="D2" s="2" t="s">
        <v>52</v>
      </c>
      <c r="E2" s="2" t="s">
        <v>52</v>
      </c>
      <c r="F2" s="2" t="str">
        <f>IF(COUNTIF(B2:E2,"Not checked")&gt;0,"Due diligence required",IF(COUNTIF(B2:E2,"Fail")&gt;0,"Risk identified","Checks completed"))</f>
        <v>Due diligence required</v>
      </c>
      <c r="G2" s="1"/>
    </row>
    <row r="3" ht="27" spans="1:7">
      <c r="A3" s="7" t="s">
        <v>13</v>
      </c>
      <c r="B3" s="2" t="s">
        <v>52</v>
      </c>
      <c r="C3" s="2" t="s">
        <v>52</v>
      </c>
      <c r="D3" s="2" t="s">
        <v>52</v>
      </c>
      <c r="E3" s="2" t="s">
        <v>52</v>
      </c>
      <c r="F3" s="2" t="str">
        <f t="shared" ref="F3:F11" si="0">IF(COUNTIF(B3:E3,"Not checked")&gt;0,"Due diligence required",IF(COUNTIF(B3:E3,"Fail")&gt;0,"Risk identified","Checks completed"))</f>
        <v>Due diligence required</v>
      </c>
      <c r="G3" s="1"/>
    </row>
    <row r="4" ht="40.5" spans="1:7">
      <c r="A4" s="7" t="s">
        <v>15</v>
      </c>
      <c r="B4" s="2" t="s">
        <v>52</v>
      </c>
      <c r="C4" s="2" t="s">
        <v>52</v>
      </c>
      <c r="D4" s="2" t="s">
        <v>52</v>
      </c>
      <c r="E4" s="2" t="s">
        <v>52</v>
      </c>
      <c r="F4" s="2" t="str">
        <f t="shared" si="0"/>
        <v>Due diligence required</v>
      </c>
      <c r="G4" s="1"/>
    </row>
    <row r="5" ht="40.5" spans="1:7">
      <c r="A5" s="7" t="s">
        <v>17</v>
      </c>
      <c r="B5" s="2" t="s">
        <v>52</v>
      </c>
      <c r="C5" s="2" t="s">
        <v>52</v>
      </c>
      <c r="D5" s="2" t="s">
        <v>52</v>
      </c>
      <c r="E5" s="2" t="s">
        <v>52</v>
      </c>
      <c r="F5" s="2" t="str">
        <f t="shared" si="0"/>
        <v>Due diligence required</v>
      </c>
      <c r="G5" s="1"/>
    </row>
    <row r="6" ht="27" spans="1:7">
      <c r="A6" s="7" t="s">
        <v>19</v>
      </c>
      <c r="B6" s="2" t="s">
        <v>52</v>
      </c>
      <c r="C6" s="2" t="s">
        <v>52</v>
      </c>
      <c r="D6" s="2" t="s">
        <v>52</v>
      </c>
      <c r="E6" s="2" t="s">
        <v>52</v>
      </c>
      <c r="F6" s="2" t="str">
        <f t="shared" si="0"/>
        <v>Due diligence required</v>
      </c>
      <c r="G6" s="1"/>
    </row>
    <row r="7" ht="40.5" spans="1:7">
      <c r="A7" s="7" t="s">
        <v>20</v>
      </c>
      <c r="B7" s="2" t="s">
        <v>52</v>
      </c>
      <c r="C7" s="2" t="s">
        <v>52</v>
      </c>
      <c r="D7" s="2" t="s">
        <v>52</v>
      </c>
      <c r="E7" s="2" t="s">
        <v>52</v>
      </c>
      <c r="F7" s="2" t="str">
        <f t="shared" si="0"/>
        <v>Due diligence required</v>
      </c>
      <c r="G7" s="1"/>
    </row>
    <row r="8" ht="27" spans="1:7">
      <c r="A8" s="7" t="s">
        <v>21</v>
      </c>
      <c r="B8" s="2" t="s">
        <v>52</v>
      </c>
      <c r="C8" s="2" t="s">
        <v>52</v>
      </c>
      <c r="D8" s="2" t="s">
        <v>52</v>
      </c>
      <c r="E8" s="2" t="s">
        <v>52</v>
      </c>
      <c r="F8" s="2" t="str">
        <f t="shared" si="0"/>
        <v>Due diligence required</v>
      </c>
      <c r="G8" s="1"/>
    </row>
    <row r="9" ht="40.5" spans="1:7">
      <c r="A9" s="7" t="s">
        <v>22</v>
      </c>
      <c r="B9" s="2" t="s">
        <v>52</v>
      </c>
      <c r="C9" s="2" t="s">
        <v>52</v>
      </c>
      <c r="D9" s="2" t="s">
        <v>52</v>
      </c>
      <c r="E9" s="2" t="s">
        <v>52</v>
      </c>
      <c r="F9" s="2" t="str">
        <f t="shared" si="0"/>
        <v>Due diligence required</v>
      </c>
      <c r="G9" s="1"/>
    </row>
    <row r="10" ht="27" spans="1:7">
      <c r="A10" s="7" t="s">
        <v>23</v>
      </c>
      <c r="B10" s="2" t="s">
        <v>52</v>
      </c>
      <c r="C10" s="2" t="s">
        <v>52</v>
      </c>
      <c r="D10" s="2" t="s">
        <v>52</v>
      </c>
      <c r="E10" s="2" t="s">
        <v>52</v>
      </c>
      <c r="F10" s="2" t="str">
        <f t="shared" si="0"/>
        <v>Due diligence required</v>
      </c>
      <c r="G10" s="1"/>
    </row>
    <row r="11" ht="27" spans="1:7">
      <c r="A11" s="7" t="s">
        <v>25</v>
      </c>
      <c r="B11" s="2" t="s">
        <v>52</v>
      </c>
      <c r="C11" s="2" t="s">
        <v>52</v>
      </c>
      <c r="D11" s="2" t="s">
        <v>52</v>
      </c>
      <c r="E11" s="2" t="s">
        <v>52</v>
      </c>
      <c r="F11" s="2" t="str">
        <f t="shared" si="0"/>
        <v>Due diligence required</v>
      </c>
      <c r="G11" s="1"/>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B9" sqref="B9"/>
    </sheetView>
  </sheetViews>
  <sheetFormatPr defaultColWidth="8.72727272727273" defaultRowHeight="14.5" outlineLevelCol="4"/>
  <cols>
    <col min="1" max="1" width="23.3636363636364" style="1" customWidth="1"/>
    <col min="2" max="2" width="22.7272727272727" style="1" customWidth="1"/>
    <col min="3" max="3" width="24.9090909090909" style="1" customWidth="1"/>
    <col min="4" max="4" width="21.3636363636364" style="1" customWidth="1"/>
    <col min="5" max="5" width="21.2727272727273" style="1" customWidth="1"/>
  </cols>
  <sheetData>
    <row r="1" spans="1:5">
      <c r="A1" s="2" t="s">
        <v>37</v>
      </c>
      <c r="B1" s="2" t="s">
        <v>53</v>
      </c>
      <c r="C1" s="2" t="s">
        <v>54</v>
      </c>
      <c r="D1" s="2" t="s">
        <v>55</v>
      </c>
      <c r="E1" s="2" t="s">
        <v>56</v>
      </c>
    </row>
    <row r="2" spans="1:5">
      <c r="A2" s="7" t="s">
        <v>9</v>
      </c>
      <c r="B2" s="7">
        <v>19000</v>
      </c>
      <c r="C2" s="8">
        <v>0.1</v>
      </c>
      <c r="D2" s="2">
        <f>B2*(1-C2)</f>
        <v>17100</v>
      </c>
      <c r="E2" s="2">
        <f>B2-D2</f>
        <v>1900</v>
      </c>
    </row>
    <row r="3" spans="1:5">
      <c r="A3" s="7" t="s">
        <v>13</v>
      </c>
      <c r="B3" s="7">
        <v>24000</v>
      </c>
      <c r="C3" s="8">
        <v>0.1</v>
      </c>
      <c r="D3" s="2">
        <f t="shared" ref="D3:D11" si="0">B3*(1-C3)</f>
        <v>21600</v>
      </c>
      <c r="E3" s="2">
        <f t="shared" ref="E3:E11" si="1">B3-D3</f>
        <v>2400</v>
      </c>
    </row>
    <row r="4" spans="1:5">
      <c r="A4" s="7" t="s">
        <v>15</v>
      </c>
      <c r="B4" s="7">
        <v>26000</v>
      </c>
      <c r="C4" s="8">
        <v>0.1</v>
      </c>
      <c r="D4" s="2">
        <f t="shared" si="0"/>
        <v>23400</v>
      </c>
      <c r="E4" s="2">
        <f t="shared" si="1"/>
        <v>2600</v>
      </c>
    </row>
    <row r="5" spans="1:5">
      <c r="A5" s="7" t="s">
        <v>17</v>
      </c>
      <c r="B5" s="7">
        <v>38000</v>
      </c>
      <c r="C5" s="8">
        <v>0.1</v>
      </c>
      <c r="D5" s="2">
        <f t="shared" si="0"/>
        <v>34200</v>
      </c>
      <c r="E5" s="2">
        <f t="shared" si="1"/>
        <v>3800</v>
      </c>
    </row>
    <row r="6" spans="1:5">
      <c r="A6" s="7" t="s">
        <v>19</v>
      </c>
      <c r="B6" s="7">
        <v>42000</v>
      </c>
      <c r="C6" s="8">
        <v>0.1</v>
      </c>
      <c r="D6" s="2">
        <f t="shared" si="0"/>
        <v>37800</v>
      </c>
      <c r="E6" s="2">
        <f t="shared" si="1"/>
        <v>4200</v>
      </c>
    </row>
    <row r="7" spans="1:5">
      <c r="A7" s="7" t="s">
        <v>20</v>
      </c>
      <c r="B7" s="7">
        <v>52000</v>
      </c>
      <c r="C7" s="8">
        <v>0.1</v>
      </c>
      <c r="D7" s="2">
        <f t="shared" si="0"/>
        <v>46800</v>
      </c>
      <c r="E7" s="2">
        <f t="shared" si="1"/>
        <v>5200</v>
      </c>
    </row>
    <row r="8" spans="1:5">
      <c r="A8" s="7" t="s">
        <v>21</v>
      </c>
      <c r="B8" s="7">
        <v>55000</v>
      </c>
      <c r="C8" s="8">
        <v>0.1</v>
      </c>
      <c r="D8" s="2">
        <f t="shared" si="0"/>
        <v>49500</v>
      </c>
      <c r="E8" s="2">
        <f t="shared" si="1"/>
        <v>5500</v>
      </c>
    </row>
    <row r="9" spans="1:5">
      <c r="A9" s="7" t="s">
        <v>22</v>
      </c>
      <c r="B9" s="7">
        <v>68000</v>
      </c>
      <c r="C9" s="8">
        <v>0.1</v>
      </c>
      <c r="D9" s="2">
        <f t="shared" si="0"/>
        <v>61200</v>
      </c>
      <c r="E9" s="2">
        <f t="shared" si="1"/>
        <v>6800</v>
      </c>
    </row>
    <row r="10" spans="1:5">
      <c r="A10" s="7" t="s">
        <v>23</v>
      </c>
      <c r="B10" s="7">
        <v>72000</v>
      </c>
      <c r="C10" s="8">
        <v>0.1</v>
      </c>
      <c r="D10" s="2">
        <f t="shared" si="0"/>
        <v>64800</v>
      </c>
      <c r="E10" s="2">
        <f t="shared" si="1"/>
        <v>7200</v>
      </c>
    </row>
    <row r="11" spans="1:5">
      <c r="A11" s="7" t="s">
        <v>25</v>
      </c>
      <c r="B11" s="7">
        <v>80000</v>
      </c>
      <c r="C11" s="8">
        <v>0.1</v>
      </c>
      <c r="D11" s="2">
        <f t="shared" si="0"/>
        <v>72000</v>
      </c>
      <c r="E11" s="2">
        <f t="shared" si="1"/>
        <v>8000</v>
      </c>
    </row>
    <row r="13" spans="1:2">
      <c r="A13" s="2" t="s">
        <v>57</v>
      </c>
      <c r="B13" s="5">
        <f>SUM(B2:B11)</f>
        <v>476000</v>
      </c>
    </row>
    <row r="14" spans="1:2">
      <c r="A14" s="2" t="s">
        <v>58</v>
      </c>
      <c r="B14" s="5">
        <f>SUM(D2:D11)</f>
        <v>428400</v>
      </c>
    </row>
    <row r="15" spans="1:2">
      <c r="A15" s="2" t="s">
        <v>59</v>
      </c>
      <c r="B15" s="5">
        <f>SUM(E2:E11)</f>
        <v>47600</v>
      </c>
    </row>
    <row r="16" spans="1:2">
      <c r="A16" s="2" t="s">
        <v>60</v>
      </c>
      <c r="B16" s="9">
        <f>IFERROR(B15/B13,0)</f>
        <v>0.1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
  <sheetViews>
    <sheetView workbookViewId="0">
      <selection activeCell="E19" sqref="E19"/>
    </sheetView>
  </sheetViews>
  <sheetFormatPr defaultColWidth="8.72727272727273" defaultRowHeight="14.5"/>
  <cols>
    <col min="1" max="1" width="34" style="1" customWidth="1"/>
    <col min="2" max="2" width="15.2727272727273" style="1" customWidth="1"/>
    <col min="3" max="3" width="12.8181818181818" style="1"/>
    <col min="4" max="4" width="8.72727272727273" style="1"/>
    <col min="5" max="5" width="44.8181818181818" style="1" customWidth="1"/>
    <col min="6" max="7" width="8.72727272727273" style="1"/>
    <col min="8" max="8" width="12.8181818181818" style="1"/>
    <col min="9" max="16384" width="8.72727272727273" style="1"/>
  </cols>
  <sheetData>
    <row r="1" spans="1:4">
      <c r="A1" s="2" t="s">
        <v>61</v>
      </c>
      <c r="B1" s="2"/>
      <c r="D1" s="1" t="s">
        <v>62</v>
      </c>
    </row>
    <row r="2" spans="1:12">
      <c r="A2" s="2"/>
      <c r="B2" s="2"/>
      <c r="D2" s="3" t="s">
        <v>63</v>
      </c>
      <c r="E2" s="3"/>
      <c r="F2" s="3"/>
      <c r="G2" s="3"/>
      <c r="H2" s="4"/>
      <c r="I2" s="4"/>
      <c r="J2" s="4"/>
      <c r="K2" s="4"/>
      <c r="L2" s="4"/>
    </row>
    <row r="3" spans="1:2">
      <c r="A3" s="2" t="s">
        <v>64</v>
      </c>
      <c r="B3" s="2">
        <f>COUNTA(Creator_Data!A2:A11)</f>
        <v>10</v>
      </c>
    </row>
    <row r="4" spans="1:2">
      <c r="A4" s="2" t="s">
        <v>65</v>
      </c>
      <c r="B4" s="2">
        <f>AVERAGE(Creator_Data!F2:F11)</f>
        <v>47600</v>
      </c>
    </row>
    <row r="5" spans="1:2">
      <c r="A5" s="2" t="s">
        <v>66</v>
      </c>
      <c r="B5" s="2">
        <f>MIN(Creator_Data!F2:F11)</f>
        <v>19000</v>
      </c>
    </row>
    <row r="6" spans="1:2">
      <c r="A6" s="2" t="s">
        <v>67</v>
      </c>
      <c r="B6" s="2">
        <f>MAX(Creator_Data!F2:F11)</f>
        <v>80000</v>
      </c>
    </row>
    <row r="7" spans="1:2">
      <c r="A7" s="2" t="s">
        <v>68</v>
      </c>
      <c r="B7" s="5">
        <f>SUM(Negotiation_Analysis!E2:E11)</f>
        <v>47600</v>
      </c>
    </row>
    <row r="8" spans="1:2">
      <c r="A8" s="2" t="s">
        <v>69</v>
      </c>
      <c r="B8" s="6">
        <f>COUNTIF(Supplier_Risk!F2:F11,"Due diligence required")</f>
        <v>10</v>
      </c>
    </row>
    <row r="11" spans="1:5">
      <c r="A11" s="2" t="s">
        <v>0</v>
      </c>
      <c r="B11" s="2" t="s">
        <v>5</v>
      </c>
      <c r="C11" s="2" t="s">
        <v>7</v>
      </c>
      <c r="D11" s="2" t="s">
        <v>8</v>
      </c>
      <c r="E11" s="2" t="s">
        <v>70</v>
      </c>
    </row>
    <row r="12" spans="1:5">
      <c r="A12" s="7" t="s">
        <v>20</v>
      </c>
      <c r="B12" s="7">
        <v>52000</v>
      </c>
      <c r="C12" s="2">
        <v>472.727272727273</v>
      </c>
      <c r="D12" s="2">
        <v>3</v>
      </c>
      <c r="E12" s="2" t="s">
        <v>71</v>
      </c>
    </row>
    <row r="13" spans="1:5">
      <c r="A13" s="7" t="s">
        <v>22</v>
      </c>
      <c r="B13" s="7">
        <v>68000</v>
      </c>
      <c r="C13" s="2">
        <v>400</v>
      </c>
      <c r="D13" s="2">
        <v>2</v>
      </c>
      <c r="E13" s="2" t="s">
        <v>71</v>
      </c>
    </row>
    <row r="14" spans="1:5">
      <c r="A14" s="7" t="s">
        <v>25</v>
      </c>
      <c r="B14" s="7">
        <v>80000</v>
      </c>
      <c r="C14" s="2">
        <v>380.952380952381</v>
      </c>
      <c r="D14" s="2">
        <v>1</v>
      </c>
      <c r="E14" s="2" t="s">
        <v>71</v>
      </c>
    </row>
  </sheetData>
  <mergeCells count="1">
    <mergeCell ref="D2:G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Creator_Data</vt:lpstr>
      <vt:lpstr>Quote_Analysis</vt:lpstr>
      <vt:lpstr>Quotation_Chart</vt:lpstr>
      <vt:lpstr>Supplier_Scorecard</vt:lpstr>
      <vt:lpstr>Supplier_Risk</vt:lpstr>
      <vt:lpstr>Negotiation_Analysis</vt:lpstr>
      <vt:lpstr>Sourcing_Summary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WITHL</cp:lastModifiedBy>
  <dcterms:created xsi:type="dcterms:W3CDTF">2026-10-21T17:02:00Z</dcterms:created>
  <dcterms:modified xsi:type="dcterms:W3CDTF">2026-10-24T23:20:07Z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F443F08F62624A8F891298FD250CB64A_13</vt:lpwstr>
  </property>
  <property fmtid="{D5CDD505-2E9C-101B-9397-08002B2CF9AE}" pid="3" name="KSOProductBuildVer">
    <vt:lpwstr>2057-12.2.0.23206</vt:lpwstr>
  </property>
</Properties>
</file>